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tvzhr-my.sharepoint.com/personal/jkordek_tvz_hr/Documents/TVZ/Ostalo/Erasmus+ Seed2STEM/Razvoj/Igra/V3/BOM/"/>
    </mc:Choice>
  </mc:AlternateContent>
  <xr:revisionPtr revIDLastSave="35" documentId="13_ncr:1_{D45D05BF-B323-4B77-93C7-8961D9901AF3}" xr6:coauthVersionLast="47" xr6:coauthVersionMax="47" xr10:uidLastSave="{DB1DE18D-0308-4493-A5B3-07F8B709DB3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" l="1"/>
  <c r="C6" i="1"/>
  <c r="C5" i="1"/>
  <c r="C4" i="1"/>
  <c r="C3" i="1"/>
  <c r="D7" i="1"/>
  <c r="D8" i="1"/>
  <c r="C8" i="1"/>
  <c r="C11" i="1"/>
  <c r="D11" i="1" s="1"/>
  <c r="C24" i="1"/>
  <c r="C22" i="1"/>
  <c r="C21" i="1"/>
  <c r="C20" i="1"/>
  <c r="C19" i="1"/>
  <c r="C18" i="1"/>
  <c r="C9" i="1"/>
  <c r="D9" i="1" s="1"/>
  <c r="C10" i="1"/>
  <c r="D10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7" i="1"/>
  <c r="C2" i="1"/>
  <c r="D25" i="1" l="1"/>
  <c r="D26" i="1" s="1"/>
</calcChain>
</file>

<file path=xl/sharedStrings.xml><?xml version="1.0" encoding="utf-8"?>
<sst xmlns="http://schemas.openxmlformats.org/spreadsheetml/2006/main" count="52" uniqueCount="37">
  <si>
    <t>Name</t>
  </si>
  <si>
    <t xml:space="preserve">PCB with pre-assembled SMT components </t>
  </si>
  <si>
    <t>ESP32 microcontroller</t>
  </si>
  <si>
    <t>M3 inserts</t>
  </si>
  <si>
    <t>M2.5 inserts</t>
  </si>
  <si>
    <t>M3 screws</t>
  </si>
  <si>
    <t>M2.5 screws</t>
  </si>
  <si>
    <t>GC9A01 display</t>
  </si>
  <si>
    <t>OLED displays</t>
  </si>
  <si>
    <t># of pieces per device</t>
  </si>
  <si>
    <t># of pieces for 10 devices</t>
  </si>
  <si>
    <t>Cost for 10 devices [€]</t>
  </si>
  <si>
    <t>aliexpress</t>
  </si>
  <si>
    <t>GC9A01 cables</t>
  </si>
  <si>
    <t>soldered</t>
  </si>
  <si>
    <t>Bottom 3D printed part</t>
  </si>
  <si>
    <t>Middle 3D printed part</t>
  </si>
  <si>
    <t>Top 3D printed part</t>
  </si>
  <si>
    <t>Field 3D printed part</t>
  </si>
  <si>
    <t>Left/right button 3D printed part</t>
  </si>
  <si>
    <t>Confirm 3D printed part</t>
  </si>
  <si>
    <t>TME</t>
  </si>
  <si>
    <t>-</t>
  </si>
  <si>
    <t>Supplier</t>
  </si>
  <si>
    <t>JLCPCB</t>
  </si>
  <si>
    <t>Cost per device:</t>
  </si>
  <si>
    <t>Push button</t>
  </si>
  <si>
    <t>Pin strip</t>
  </si>
  <si>
    <t>(3D printed parts not included)</t>
  </si>
  <si>
    <t>Adafruit</t>
  </si>
  <si>
    <t>Power switch</t>
  </si>
  <si>
    <t>Digikey</t>
  </si>
  <si>
    <t>Speaker</t>
  </si>
  <si>
    <t>Port expander</t>
  </si>
  <si>
    <t>Battery</t>
  </si>
  <si>
    <t>OLED cables 10cm</t>
  </si>
  <si>
    <t>Rubber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</si>
</sst>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0" fontId="2" fillId="0" borderId="2" xfId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1" fillId="0" borderId="0" xfId="0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A5C971-8A39-466A-A24D-D60CC477CDED}" name="Table2" displayName="Table2" ref="A1:E24" totalsRowShown="0" headerRowDxfId="8" headerRowBorderDxfId="7" tableBorderDxfId="6" totalsRowBorderDxfId="5">
  <autoFilter ref="A1:E24" xr:uid="{67A5C971-8A39-466A-A24D-D60CC477CDED}"/>
  <tableColumns count="5">
    <tableColumn id="2" xr3:uid="{E7B3B9A7-9E5F-4F55-A905-83F603D5FB9A}" name="Name" dataDxfId="4"/>
    <tableColumn id="3" xr3:uid="{319A11BD-EA4F-487E-A0A5-2D19D98C5342}" name="# of pieces per device" dataDxfId="3"/>
    <tableColumn id="4" xr3:uid="{641D2C78-DB79-45CB-A0CE-D8E26A3E3DDF}" name="# of pieces for 10 devices" dataDxfId="2">
      <calculatedColumnFormula>B2*10</calculatedColumnFormula>
    </tableColumn>
    <tableColumn id="5" xr3:uid="{3A7A167D-7FCB-46E7-B4B5-4D2F030D78A7}" name="Cost for 10 devices [€]" dataDxfId="1"/>
    <tableColumn id="6" xr3:uid="{500417CB-455C-49A3-BAF6-1F2AE1E19DDF}" name="Supplier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hr/en/details/b3x8_bn16/bolts/bossard/1017985/" TargetMode="External"/><Relationship Id="rId13" Type="http://schemas.openxmlformats.org/officeDocument/2006/relationships/hyperlink" Target="https://www.tme.eu/hr/en/details/ld-bzen-1205/electromagnetic-sounders-w-o-generator/loudity/" TargetMode="External"/><Relationship Id="rId3" Type="http://schemas.openxmlformats.org/officeDocument/2006/relationships/hyperlink" Target="https://www.aliexpress.com/item/1005007702290129.html?spm=a2g0o.productlist.main.7.65ef6680yDs8nd&amp;algo_pvid=30424c7c-793a-48b0-933b-244965f43077&amp;algo_exp_id=30424c7c-793a-48b0-933b-244965f43077-6&amp;pdp_ext_f=%7B%22order%22%3A%221479%22%2C%22eval%22%3A%221%22%7D&amp;pdp_npi=6%40dis%21EUR%215.01%211.10%21%21%2140.69%218.89%21%40210385a817562920619844806ef3b6%2112000041912044115%21sea%21HR%210%21ABX%211%210%21n_tag%3A-29910%3Bd%3A80ec4e5c%3Bm03_new_user%3A-29895%3BpisId%3A5000000174129184&amp;curPageLogUid=5H3M1Fq1tWO2&amp;utparam-url=scene%3Asearch%7Cquery_from%3A%7Cx_object_id%3A1005007702290129%7C_p_origin_prod%3A" TargetMode="External"/><Relationship Id="rId7" Type="http://schemas.openxmlformats.org/officeDocument/2006/relationships/hyperlink" Target="https://www.tme.eu/hr/en/details/kvt-117m3/threaded-insertions/tappex/117m3/" TargetMode="External"/><Relationship Id="rId12" Type="http://schemas.openxmlformats.org/officeDocument/2006/relationships/hyperlink" Target="https://www.digikey.com/en/products/detail/zf-electronics/PRK22J5BBBNN/1083857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soldered.com/product/display-oled-i2c-white-0-96-ssd1306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adafruit.com/product/5885" TargetMode="External"/><Relationship Id="rId6" Type="http://schemas.openxmlformats.org/officeDocument/2006/relationships/hyperlink" Target="https://www.tme.eu/hr/en/details/kvt-002m2/threaded-insertions/tappex/002m2/" TargetMode="External"/><Relationship Id="rId11" Type="http://schemas.openxmlformats.org/officeDocument/2006/relationships/hyperlink" Target="https://www.tme.eu/hr/en/details/ph1rb-40-ua/pin-headers/adam-tech/" TargetMode="External"/><Relationship Id="rId5" Type="http://schemas.openxmlformats.org/officeDocument/2006/relationships/hyperlink" Target="https://soldered.com/product/easyc-cable/" TargetMode="External"/><Relationship Id="rId15" Type="http://schemas.openxmlformats.org/officeDocument/2006/relationships/hyperlink" Target="https://soldered.com/products/li-ion-battery-1200mah-3-7v?variant=62540928516445" TargetMode="External"/><Relationship Id="rId10" Type="http://schemas.openxmlformats.org/officeDocument/2006/relationships/hyperlink" Target="https://www.tme.eu/hr/en/details/tact-64k-f/microswitches-tact/ninigi/" TargetMode="External"/><Relationship Id="rId4" Type="http://schemas.openxmlformats.org/officeDocument/2006/relationships/hyperlink" Target="https://soldered.com/hr/proizvod/set-kablica-zensko-zenski-40-komada/" TargetMode="External"/><Relationship Id="rId9" Type="http://schemas.openxmlformats.org/officeDocument/2006/relationships/hyperlink" Target="https://www.tme.eu/hr/en/details/b2x5_bn2724/screws/bossard/5001676/" TargetMode="External"/><Relationship Id="rId14" Type="http://schemas.openxmlformats.org/officeDocument/2006/relationships/hyperlink" Target="https://www.adafruit.com/product/56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H22" sqref="H22"/>
    </sheetView>
  </sheetViews>
  <sheetFormatPr defaultRowHeight="15" x14ac:dyDescent="0.25"/>
  <cols>
    <col min="1" max="1" width="39.5703125" bestFit="1" customWidth="1"/>
    <col min="2" max="2" width="22.28515625" customWidth="1"/>
    <col min="3" max="3" width="25.140625" customWidth="1"/>
    <col min="4" max="4" width="22.42578125" customWidth="1"/>
    <col min="5" max="5" width="10.7109375" bestFit="1" customWidth="1"/>
  </cols>
  <sheetData>
    <row r="1" spans="1:5" x14ac:dyDescent="0.25">
      <c r="A1" s="6" t="s">
        <v>0</v>
      </c>
      <c r="B1" s="6" t="s">
        <v>9</v>
      </c>
      <c r="C1" s="6" t="s">
        <v>10</v>
      </c>
      <c r="D1" s="6" t="s">
        <v>11</v>
      </c>
      <c r="E1" s="7" t="s">
        <v>23</v>
      </c>
    </row>
    <row r="2" spans="1:5" x14ac:dyDescent="0.25">
      <c r="A2" s="2" t="s">
        <v>1</v>
      </c>
      <c r="B2" s="2">
        <v>1</v>
      </c>
      <c r="C2" s="2">
        <f t="shared" ref="C2:C8" si="0">B2*10</f>
        <v>10</v>
      </c>
      <c r="D2" s="3">
        <v>70</v>
      </c>
      <c r="E2" s="4" t="s">
        <v>24</v>
      </c>
    </row>
    <row r="3" spans="1:5" x14ac:dyDescent="0.25">
      <c r="A3" s="2" t="s">
        <v>30</v>
      </c>
      <c r="B3" s="2">
        <v>1</v>
      </c>
      <c r="C3" s="2">
        <f t="shared" si="0"/>
        <v>10</v>
      </c>
      <c r="D3" s="3">
        <v>15</v>
      </c>
      <c r="E3" s="5" t="s">
        <v>31</v>
      </c>
    </row>
    <row r="4" spans="1:5" x14ac:dyDescent="0.25">
      <c r="A4" s="2" t="s">
        <v>32</v>
      </c>
      <c r="B4" s="2">
        <v>1</v>
      </c>
      <c r="C4" s="2">
        <f t="shared" si="0"/>
        <v>10</v>
      </c>
      <c r="D4" s="3">
        <v>2.1</v>
      </c>
      <c r="E4" s="5" t="s">
        <v>21</v>
      </c>
    </row>
    <row r="5" spans="1:5" x14ac:dyDescent="0.25">
      <c r="A5" s="2" t="s">
        <v>33</v>
      </c>
      <c r="B5" s="2">
        <v>1</v>
      </c>
      <c r="C5" s="2">
        <f t="shared" si="0"/>
        <v>10</v>
      </c>
      <c r="D5" s="3">
        <v>50</v>
      </c>
      <c r="E5" s="5" t="s">
        <v>29</v>
      </c>
    </row>
    <row r="6" spans="1:5" x14ac:dyDescent="0.25">
      <c r="A6" s="2" t="s">
        <v>34</v>
      </c>
      <c r="B6" s="2">
        <v>1</v>
      </c>
      <c r="C6" s="2">
        <f t="shared" si="0"/>
        <v>10</v>
      </c>
      <c r="D6" s="3">
        <v>75</v>
      </c>
      <c r="E6" s="5" t="s">
        <v>14</v>
      </c>
    </row>
    <row r="7" spans="1:5" x14ac:dyDescent="0.25">
      <c r="A7" s="2" t="s">
        <v>2</v>
      </c>
      <c r="B7" s="2">
        <v>1</v>
      </c>
      <c r="C7" s="2">
        <f t="shared" si="0"/>
        <v>10</v>
      </c>
      <c r="D7" s="3">
        <f>15*10</f>
        <v>150</v>
      </c>
      <c r="E7" s="5" t="s">
        <v>29</v>
      </c>
    </row>
    <row r="8" spans="1:5" x14ac:dyDescent="0.25">
      <c r="A8" s="2" t="s">
        <v>26</v>
      </c>
      <c r="B8" s="2">
        <v>12</v>
      </c>
      <c r="C8" s="2">
        <f t="shared" si="0"/>
        <v>120</v>
      </c>
      <c r="D8" s="3">
        <f>Table2[[#This Row],['# of pieces for 10 devices]]*0.0662</f>
        <v>7.9439999999999991</v>
      </c>
      <c r="E8" s="5" t="s">
        <v>21</v>
      </c>
    </row>
    <row r="9" spans="1:5" x14ac:dyDescent="0.25">
      <c r="A9" s="2" t="s">
        <v>27</v>
      </c>
      <c r="B9" s="2">
        <v>1</v>
      </c>
      <c r="C9" s="2">
        <f t="shared" ref="C9:C24" si="1">B9*10</f>
        <v>10</v>
      </c>
      <c r="D9" s="3">
        <f>Table2[[#This Row],['# of pieces for 10 devices]]/5*0.669</f>
        <v>1.3380000000000001</v>
      </c>
      <c r="E9" s="5" t="s">
        <v>21</v>
      </c>
    </row>
    <row r="10" spans="1:5" x14ac:dyDescent="0.25">
      <c r="A10" s="2" t="s">
        <v>35</v>
      </c>
      <c r="B10" s="2">
        <v>5</v>
      </c>
      <c r="C10" s="2">
        <f t="shared" si="1"/>
        <v>50</v>
      </c>
      <c r="D10" s="3">
        <f>C10*0.95</f>
        <v>47.5</v>
      </c>
      <c r="E10" s="5" t="s">
        <v>14</v>
      </c>
    </row>
    <row r="11" spans="1:5" x14ac:dyDescent="0.25">
      <c r="A11" s="2" t="s">
        <v>13</v>
      </c>
      <c r="B11" s="2">
        <v>8</v>
      </c>
      <c r="C11" s="2">
        <f t="shared" si="1"/>
        <v>80</v>
      </c>
      <c r="D11" s="3">
        <f>(C11/40)*3.5</f>
        <v>7</v>
      </c>
      <c r="E11" s="5" t="s">
        <v>14</v>
      </c>
    </row>
    <row r="12" spans="1:5" x14ac:dyDescent="0.25">
      <c r="A12" s="2" t="s">
        <v>3</v>
      </c>
      <c r="B12" s="2">
        <v>16</v>
      </c>
      <c r="C12" s="2">
        <f t="shared" si="1"/>
        <v>160</v>
      </c>
      <c r="D12" s="3">
        <f>C12*0.172</f>
        <v>27.519999999999996</v>
      </c>
      <c r="E12" s="5" t="s">
        <v>21</v>
      </c>
    </row>
    <row r="13" spans="1:5" x14ac:dyDescent="0.25">
      <c r="A13" s="2" t="s">
        <v>4</v>
      </c>
      <c r="B13" s="2">
        <v>36</v>
      </c>
      <c r="C13" s="2">
        <f t="shared" si="1"/>
        <v>360</v>
      </c>
      <c r="D13" s="3">
        <f>C13*0.15</f>
        <v>54</v>
      </c>
      <c r="E13" s="5" t="s">
        <v>21</v>
      </c>
    </row>
    <row r="14" spans="1:5" x14ac:dyDescent="0.25">
      <c r="A14" s="2" t="s">
        <v>5</v>
      </c>
      <c r="B14" s="2">
        <v>16</v>
      </c>
      <c r="C14" s="2">
        <f t="shared" si="1"/>
        <v>160</v>
      </c>
      <c r="D14" s="3">
        <f>C14*0.0263</f>
        <v>4.2080000000000002</v>
      </c>
      <c r="E14" s="5" t="s">
        <v>21</v>
      </c>
    </row>
    <row r="15" spans="1:5" x14ac:dyDescent="0.25">
      <c r="A15" s="2" t="s">
        <v>6</v>
      </c>
      <c r="B15" s="2">
        <v>36</v>
      </c>
      <c r="C15" s="2">
        <f t="shared" si="1"/>
        <v>360</v>
      </c>
      <c r="D15" s="3">
        <f>C15*0.0287</f>
        <v>10.332000000000001</v>
      </c>
      <c r="E15" s="5" t="s">
        <v>21</v>
      </c>
    </row>
    <row r="16" spans="1:5" x14ac:dyDescent="0.25">
      <c r="A16" s="2" t="s">
        <v>7</v>
      </c>
      <c r="B16" s="2">
        <v>1</v>
      </c>
      <c r="C16" s="2">
        <f t="shared" si="1"/>
        <v>10</v>
      </c>
      <c r="D16" s="3">
        <f>C16*1.56</f>
        <v>15.600000000000001</v>
      </c>
      <c r="E16" s="5" t="s">
        <v>12</v>
      </c>
    </row>
    <row r="17" spans="1:7" x14ac:dyDescent="0.25">
      <c r="A17" s="2" t="s">
        <v>8</v>
      </c>
      <c r="B17" s="2">
        <v>4</v>
      </c>
      <c r="C17" s="2">
        <f t="shared" si="1"/>
        <v>40</v>
      </c>
      <c r="D17" s="3">
        <f>C17*9.95</f>
        <v>398</v>
      </c>
      <c r="E17" s="5" t="s">
        <v>14</v>
      </c>
    </row>
    <row r="18" spans="1:7" x14ac:dyDescent="0.25">
      <c r="A18" s="2" t="s">
        <v>15</v>
      </c>
      <c r="B18" s="2">
        <v>1</v>
      </c>
      <c r="C18" s="2">
        <f t="shared" si="1"/>
        <v>10</v>
      </c>
      <c r="D18" s="3">
        <v>0</v>
      </c>
      <c r="E18" s="4" t="s">
        <v>22</v>
      </c>
    </row>
    <row r="19" spans="1:7" x14ac:dyDescent="0.25">
      <c r="A19" s="2" t="s">
        <v>16</v>
      </c>
      <c r="B19" s="2">
        <v>1</v>
      </c>
      <c r="C19" s="2">
        <f t="shared" si="1"/>
        <v>10</v>
      </c>
      <c r="D19" s="3">
        <v>0</v>
      </c>
      <c r="E19" s="4" t="s">
        <v>22</v>
      </c>
    </row>
    <row r="20" spans="1:7" x14ac:dyDescent="0.25">
      <c r="A20" s="2" t="s">
        <v>17</v>
      </c>
      <c r="B20" s="2">
        <v>1</v>
      </c>
      <c r="C20" s="2">
        <f t="shared" si="1"/>
        <v>10</v>
      </c>
      <c r="D20" s="3">
        <v>0</v>
      </c>
      <c r="E20" s="4" t="s">
        <v>22</v>
      </c>
    </row>
    <row r="21" spans="1:7" x14ac:dyDescent="0.25">
      <c r="A21" s="2" t="s">
        <v>18</v>
      </c>
      <c r="B21" s="2">
        <v>4</v>
      </c>
      <c r="C21" s="2">
        <f t="shared" si="1"/>
        <v>40</v>
      </c>
      <c r="D21" s="3">
        <v>0</v>
      </c>
      <c r="E21" s="4" t="s">
        <v>22</v>
      </c>
    </row>
    <row r="22" spans="1:7" x14ac:dyDescent="0.25">
      <c r="A22" s="2" t="s">
        <v>19</v>
      </c>
      <c r="B22" s="2">
        <v>8</v>
      </c>
      <c r="C22" s="2">
        <f t="shared" si="1"/>
        <v>80</v>
      </c>
      <c r="D22" s="3">
        <v>0</v>
      </c>
      <c r="E22" s="4" t="s">
        <v>22</v>
      </c>
    </row>
    <row r="23" spans="1:7" x14ac:dyDescent="0.25">
      <c r="A23" s="2" t="s">
        <v>36</v>
      </c>
      <c r="B23" s="2">
        <v>8</v>
      </c>
      <c r="C23" s="2">
        <f>B23*10</f>
        <v>80</v>
      </c>
      <c r="D23" s="3">
        <v>0</v>
      </c>
      <c r="E23" s="4"/>
    </row>
    <row r="24" spans="1:7" x14ac:dyDescent="0.25">
      <c r="A24" s="8" t="s">
        <v>20</v>
      </c>
      <c r="B24" s="8">
        <v>4</v>
      </c>
      <c r="C24" s="8">
        <f t="shared" si="1"/>
        <v>40</v>
      </c>
      <c r="D24" s="9">
        <v>0</v>
      </c>
      <c r="E24" s="10" t="s">
        <v>22</v>
      </c>
    </row>
    <row r="25" spans="1:7" x14ac:dyDescent="0.25">
      <c r="D25" s="1">
        <f>SUM(D2:D24)</f>
        <v>935.54200000000014</v>
      </c>
    </row>
    <row r="26" spans="1:7" x14ac:dyDescent="0.25">
      <c r="C26" t="s">
        <v>25</v>
      </c>
      <c r="D26" s="11">
        <f>D25/10</f>
        <v>93.554200000000009</v>
      </c>
      <c r="E26" s="12" t="s">
        <v>28</v>
      </c>
      <c r="F26" s="12"/>
      <c r="G26" s="12"/>
    </row>
  </sheetData>
  <mergeCells count="1">
    <mergeCell ref="E26:G26"/>
  </mergeCells>
  <hyperlinks>
    <hyperlink ref="E7" r:id="rId1" xr:uid="{15813277-34FD-42CA-B0B4-A6D9112B2FB7}"/>
    <hyperlink ref="E17" r:id="rId2" xr:uid="{D020F3CE-6AD2-4DAE-9AE5-6F1234AB6507}"/>
    <hyperlink ref="E16" r:id="rId3" xr:uid="{172E53C8-5C6B-4B7E-A0C7-86EB7947BD73}"/>
    <hyperlink ref="E11" r:id="rId4" xr:uid="{FF863D41-FDAF-48CD-B49B-8B971289EB60}"/>
    <hyperlink ref="E10" r:id="rId5" xr:uid="{85E2339A-0045-491B-B749-7CD27E5ED83F}"/>
    <hyperlink ref="E13" r:id="rId6" xr:uid="{907F0B69-911F-4242-A2FB-13BE40CF0054}"/>
    <hyperlink ref="E12" r:id="rId7" xr:uid="{954C11E1-74FF-45EB-BC5E-BF6196823D85}"/>
    <hyperlink ref="E14" r:id="rId8" xr:uid="{D078A882-CFF4-4C6A-A66D-3880354651F8}"/>
    <hyperlink ref="E15" r:id="rId9" xr:uid="{41BA9F65-BD03-444A-A613-C9FE287A4B18}"/>
    <hyperlink ref="E8" r:id="rId10" xr:uid="{85E61FDB-61CC-43D0-8C14-C8522141F254}"/>
    <hyperlink ref="E9" r:id="rId11" xr:uid="{56253B71-5DD9-4A21-993E-1C7F6ED85486}"/>
    <hyperlink ref="E3" r:id="rId12" xr:uid="{5DDBA52C-7F39-4150-9EF4-65B0F4314D4D}"/>
    <hyperlink ref="E4" r:id="rId13" xr:uid="{0315598E-6A5A-4407-ADF0-B097E2E3B0AF}"/>
    <hyperlink ref="E5" r:id="rId14" xr:uid="{DF723C75-52BF-4381-BFB2-9C67B0CA9453}"/>
    <hyperlink ref="E6" r:id="rId15" xr:uid="{0DDAA54B-770C-456F-A94E-BAF956BE2A26}"/>
  </hyperlinks>
  <pageMargins left="0.7" right="0.7" top="0.75" bottom="0.75" header="0.3" footer="0.3"/>
  <pageSetup paperSize="9" orientation="portrait" verticalDpi="0"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Josip Kordek (jkordek)</dc:creator>
  <cp:lastModifiedBy>Josip Kordek (jkordek)</cp:lastModifiedBy>
  <dcterms:created xsi:type="dcterms:W3CDTF">2015-06-05T18:17:20Z</dcterms:created>
  <dcterms:modified xsi:type="dcterms:W3CDTF">2026-04-28T11:45:17Z</dcterms:modified>
</cp:coreProperties>
</file>